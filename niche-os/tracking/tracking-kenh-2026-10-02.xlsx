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m AI" sheetId="1" state="visible" r:id="rId3"/>
    <sheet name="Phim mẹ rồng (sóng)" sheetId="2" state="visible" r:id="rId4"/>
    <sheet name="Động vật" sheetId="3" state="visible" r:id="rId5"/>
    <sheet name="Ngừng đăng" sheetId="4" state="visible" r:id="rId6"/>
  </sheets>
  <definedNames>
    <definedName function="false" hidden="true" localSheetId="2" name="_xlnm._FilterDatabase" vbProcedure="false">'Động vật'!$A$1:$N$13</definedName>
    <definedName function="false" hidden="true" localSheetId="3" name="_xlnm._FilterDatabase" vbProcedure="false">'Ngừng đăng'!$A$1:$N$5</definedName>
    <definedName function="false" hidden="true" localSheetId="0" name="_xlnm._FilterDatabase" vbProcedure="false">'Phim AI'!$A$1:$N$8</definedName>
    <definedName function="false" hidden="true" localSheetId="1" name="_xlnm._FilterDatabase" vbProcedure="false">'Phim mẹ rồng (sóng)'!$A$1:$N$7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<sst xmlns="http://schemas.openxmlformats.org/spreadsheetml/2006/main" count="263" uniqueCount="176">
  <si>
    <t xml:space="preserve">Tên kênh</t>
  </si>
  <si>
    <t xml:space="preserve">Link kênh</t>
  </si>
  <si>
    <t xml:space="preserve">Chủ đề</t>
  </si>
  <si>
    <t xml:space="preserve">View TB 5 video gần nhất</t>
  </si>
  <si>
    <t xml:space="preserve">Trung vị 5 video</t>
  </si>
  <si>
    <t xml:space="preserve">Video 1 (mới nhất)</t>
  </si>
  <si>
    <t xml:space="preserve">Video 2</t>
  </si>
  <si>
    <t xml:space="preserve">Video 3</t>
  </si>
  <si>
    <t xml:space="preserve">Video 4</t>
  </si>
  <si>
    <t xml:space="preserve">Video 5</t>
  </si>
  <si>
    <t xml:space="preserve">Sub</t>
  </si>
  <si>
    <t xml:space="preserve">Hạng</t>
  </si>
  <si>
    <t xml:space="preserve">Đăng gần nhất</t>
  </si>
  <si>
    <t xml:space="preserve">Ghi chú</t>
  </si>
  <si>
    <t xml:space="preserve">AI Trailer Cinema</t>
  </si>
  <si>
    <t xml:space="preserve">https://www.youtube.com/channel/UC6gf2t9dKojAJcAFaFZFHuw</t>
  </si>
  <si>
    <t xml:space="preserve">Phim AI 1h: sinh tồn/thảm hoạ; mới chuyển sang fantasy mẹ-rồng (ASHBORN 2.28M)</t>
  </si>
  <si>
    <t xml:space="preserve">238k</t>
  </si>
  <si>
    <t xml:space="preserve">A</t>
  </si>
  <si>
    <t xml:space="preserve">25/09</t>
  </si>
  <si>
    <t xml:space="preserve">1 phim/tuần, 5/5 phim &gt;145k</t>
  </si>
  <si>
    <t xml:space="preserve">Shanhay Studio</t>
  </si>
  <si>
    <t xml:space="preserve">https://www.youtube.com/channel/UCzmjWmTHBO6IyqexyGXD5LQ</t>
  </si>
  <si>
    <t xml:space="preserve">Series fantasy sử thi rồng/vương quốc (Dragonbone Continent, Dragonfall) 47m–2.5h</t>
  </si>
  <si>
    <t xml:space="preserve">57.4k</t>
  </si>
  <si>
    <t xml:space="preserve">5/5 phim &gt;389k, ổn định nhất</t>
  </si>
  <si>
    <t xml:space="preserve">Dark Age Datacore</t>
  </si>
  <si>
    <t xml:space="preserve">https://www.youtube.com/channel/UCF-yHmXbMKxxTPD9gD4o8zw</t>
  </si>
  <si>
    <t xml:space="preserve">Fantasy trung cổ: rồng, elf, Norse, 28–51 phút</t>
  </si>
  <si>
    <t xml:space="preserve">21.4k</t>
  </si>
  <si>
    <t xml:space="preserve">26/09</t>
  </si>
  <si>
    <t xml:space="preserve">5/5 &gt;238k; hit xương rồng 3.16M</t>
  </si>
  <si>
    <t xml:space="preserve">Future Frame Movies</t>
  </si>
  <si>
    <t xml:space="preserve">https://www.youtube.com/channel/UC9I0vMcmoJBWqFYg6O7PujA</t>
  </si>
  <si>
    <t xml:space="preserve">Dark fantasy nàng tiên cá 1h; phim mới: rồng mẹ gửi con cho tiên cá (TIDEBORN)</t>
  </si>
  <si>
    <t xml:space="preserve">31.5k</t>
  </si>
  <si>
    <t xml:space="preserve">30/09</t>
  </si>
  <si>
    <t xml:space="preserve">Nghỉ 05–08; 3 phim từ 28/08 đều 208k–754k</t>
  </si>
  <si>
    <t xml:space="preserve">CinemaEX</t>
  </si>
  <si>
    <t xml:space="preserve">https://www.youtube.com/channel/UCE6ue_9IbHGeYsrP58xwn-A</t>
  </si>
  <si>
    <t xml:space="preserve">Fantasy/sci-fi 1h (Aladdin, rồng, sinh vật)</t>
  </si>
  <si>
    <t xml:space="preserve">22k</t>
  </si>
  <si>
    <t xml:space="preserve">B</t>
  </si>
  <si>
    <t xml:space="preserve">Có hit 1.8M nhưng dao động 5.7k–1.8M</t>
  </si>
  <si>
    <t xml:space="preserve">Vincent Perez Films</t>
  </si>
  <si>
    <t xml:space="preserve">https://www.youtube.com/channel/UCMVhLAn7fXvYKlwM0ytKNmQ</t>
  </si>
  <si>
    <t xml:space="preserve">Dark fantasy series 'The Hunt', chất lượng liên hoan phim AI</t>
  </si>
  <si>
    <t xml:space="preserve">16.7k</t>
  </si>
  <si>
    <t xml:space="preserve">01/10</t>
  </si>
  <si>
    <t xml:space="preserve">Series 5–40 phút, dao động</t>
  </si>
  <si>
    <t xml:space="preserve">Nova ai films</t>
  </si>
  <si>
    <t xml:space="preserve">https://www.youtube.com/channel/UCoxrPSs31xUUJOYzrZhEi7g</t>
  </si>
  <si>
    <t xml:space="preserve">Sci-fi/fantasy 10–18 phút (người khổng lồ, quái vật, rồng)</t>
  </si>
  <si>
    <t xml:space="preserve">72.4k</t>
  </si>
  <si>
    <t xml:space="preserve">29/09</t>
  </si>
  <si>
    <t xml:space="preserve">Tự đăng video 'YouTube Demonetized My Channel' 13/08</t>
  </si>
  <si>
    <t xml:space="preserve">Cách tính: 5 video dài gần nhất, đăng ≥3 ngày tính đến 02/10/2026, bỏ trailer/teaser &lt;3 phút. Nguồn: vidIQ. Hạng: A = mạnh &amp; ổn định, B = mạnh nhưng dao động, B↑ = nhỏ nhưng đang lên, W = ăn theo sóng, Z = ngừng đăng.</t>
  </si>
  <si>
    <t xml:space="preserve">MYTHRA (gốc)</t>
  </si>
  <si>
    <t xml:space="preserve">https://www.youtube.com/channel/UCQnhXRLVlz161PmIuqA9e4A</t>
  </si>
  <si>
    <t xml:space="preserve">Phim gốc She Gave Birth to a Dragon 28:30</t>
  </si>
  <si>
    <t xml:space="preserve">190k</t>
  </si>
  <si>
    <t xml:space="preserve">W</t>
  </si>
  <si>
    <t xml:space="preserve">01/10 (teaser)</t>
  </si>
  <si>
    <t xml:space="preserve">Chỉ 1 phim; Part 2 công chiếu 05/10 18:00 ET; teaser 249k sau 1 ngày</t>
  </si>
  <si>
    <t xml:space="preserve">Everflame (nghi team VN)</t>
  </si>
  <si>
    <t xml:space="preserve">https://www.youtube.com/channel/UCha_flZyWH8pu-14DbUIyKw</t>
  </si>
  <si>
    <t xml:space="preserve">Mẹ nuôi quái vật/rồng 23–30 phút</t>
  </si>
  <si>
    <t xml:space="preserve">23.9k</t>
  </si>
  <si>
    <t xml:space="preserve">Chỉ 4 phim; phần tiếp KIRO II trượt (13.7k) | Liên hệ: Vinhmaiai.160399@gmail.com (kênh khai báo quốc gia US)</t>
  </si>
  <si>
    <t xml:space="preserve">KZK FILMS</t>
  </si>
  <si>
    <t xml:space="preserve">https://www.youtube.com/channel/UCuKGkCt69i3Wz37YWPGGL8w</t>
  </si>
  <si>
    <t xml:space="preserve">Part 2/3 Mother's Monster + fantasy khác</t>
  </si>
  <si>
    <t xml:space="preserve">22.7k</t>
  </si>
  <si>
    <t xml:space="preserve">Chủ đề khác rồng-mẹ chỉ 4–7k</t>
  </si>
  <si>
    <t xml:space="preserve">CineMyth Studios (PK)</t>
  </si>
  <si>
    <t xml:space="preserve">https://www.youtube.com/channel/UCNjl2ifPH_a4ctP7_s0sjYA</t>
  </si>
  <si>
    <t xml:space="preserve">She Became a Mother to a Dragon + Aladdin AI</t>
  </si>
  <si>
    <t xml:space="preserve">170k</t>
  </si>
  <si>
    <t xml:space="preserve">Part 2 đạt 405k sau 2.5 ngày (chưa tính)</t>
  </si>
  <si>
    <t xml:space="preserve">Fatebound Drama</t>
  </si>
  <si>
    <t xml:space="preserve">https://www.youtube.com/channel/UCWYKTiBbx5UjK1RVadB3TSA</t>
  </si>
  <si>
    <t xml:space="preserve">Series She Found a Dragon in the Snow (P1–P4)</t>
  </si>
  <si>
    <t xml:space="preserve">3.4k</t>
  </si>
  <si>
    <t xml:space="preserve">Mỗi phần giảm 40–80%; drama tình cảm 100–1k</t>
  </si>
  <si>
    <t xml:space="preserve">The Astro Mind</t>
  </si>
  <si>
    <t xml:space="preserve">https://www.youtube.com/channel/UCSOHjbISe8Ox63zdm1VSIFQ</t>
  </si>
  <si>
    <t xml:space="preserve">Kênh vũ trụ chuyển sang Mother's Monster 2/3</t>
  </si>
  <si>
    <t xml:space="preserve">16.5k</t>
  </si>
  <si>
    <t xml:space="preserve">MM3 đạt 206k sau 1 ngày (vph 22.8k) — đang ăn sóng</t>
  </si>
  <si>
    <t xml:space="preserve">Wild Testament</t>
  </si>
  <si>
    <t xml:space="preserve">https://www.youtube.com/channel/UCbYplycuOX6G9THQc_vje0Q</t>
  </si>
  <si>
    <t xml:space="preserve">AI: A Mother [loài] Gives Birth… But [twist], 30–44 phút</t>
  </si>
  <si>
    <t xml:space="preserve">24.8k</t>
  </si>
  <si>
    <t xml:space="preserve">1 video/tuần, 5/5 &gt;245k</t>
  </si>
  <si>
    <t xml:space="preserve">BBTV NEW (Tây Ban Nha)</t>
  </si>
  <si>
    <t xml:space="preserve">https://www.youtube.com/channel/UCTC4t6UwEV2itXDPpPOeYhQ</t>
  </si>
  <si>
    <t xml:space="preserve">AI: [Loài]: 100 Días Desde el Nacimiento Hasta la Supervivencia, 8–18 phút</t>
  </si>
  <si>
    <t xml:space="preserve">—</t>
  </si>
  <si>
    <t xml:space="preserve">2 ngày/video; 2 video mới nhất 351k/3 ngày và 121k/14 giờ</t>
  </si>
  <si>
    <t xml:space="preserve">GaiaDocs</t>
  </si>
  <si>
    <t xml:space="preserve">https://www.youtube.com/channel/UCe9imMhDp6Kn3dn75mzUUZw</t>
  </si>
  <si>
    <t xml:space="preserve">Footage: WILD [NƠI] | săn mồi, 30–90 phút</t>
  </si>
  <si>
    <t xml:space="preserve">59.1k</t>
  </si>
  <si>
    <t xml:space="preserve">2–3 ngày/video; trung vị thấp hơn trung bình nhiều</t>
  </si>
  <si>
    <t xml:space="preserve">Nature's Tether</t>
  </si>
  <si>
    <t xml:space="preserve">https://www.youtube.com/channel/UCpw_I21AoF3N6Dqm3LLY9bw</t>
  </si>
  <si>
    <t xml:space="preserve">Footage: WILD [NƠI] | hook nghịch lý, 30 phút</t>
  </si>
  <si>
    <t xml:space="preserve">Nghi mua tương tác (giai đoạn tiếng Hàn like &gt; view)</t>
  </si>
  <si>
    <t xml:space="preserve">WILD NATURE</t>
  </si>
  <si>
    <t xml:space="preserve">https://www.youtube.com/channel/UCJjUlbs-ZEo4draiZzz66sQ</t>
  </si>
  <si>
    <t xml:space="preserve">Footage: Full Episode 3–4 giờ, châu Phi săn mồi</t>
  </si>
  <si>
    <t xml:space="preserve">235k</t>
  </si>
  <si>
    <t xml:space="preserve">2–3 ngày/video, rất đều</t>
  </si>
  <si>
    <t xml:space="preserve">Wild Alone</t>
  </si>
  <si>
    <t xml:space="preserve">https://www.youtube.com/channel/UCI8JzkrwBSJgj0L084SVInQ</t>
  </si>
  <si>
    <t xml:space="preserve">AI: The Secret Life of [loài lạ] | First Days in the Wild</t>
  </si>
  <si>
    <t xml:space="preserve">7.8k</t>
  </si>
  <si>
    <t xml:space="preserve">Thắng khi loài lạ (tê tê, thú mỏ vịt)</t>
  </si>
  <si>
    <t xml:space="preserve">Primal Buzz</t>
  </si>
  <si>
    <t xml:space="preserve">https://www.youtube.com/channel/UCJqWj6DtSJ8WBqEUjcxG5Uw</t>
  </si>
  <si>
    <t xml:space="preserve">[Thú săn]'s Brutal Hunt | [Vùng]'s Deadliest Predator, 30 phút</t>
  </si>
  <si>
    <t xml:space="preserve">9.99k</t>
  </si>
  <si>
    <t xml:space="preserve">02/10</t>
  </si>
  <si>
    <t xml:space="preserve">Bắc cực/Bắc Mỹ ăn, châu Phi trượt</t>
  </si>
  <si>
    <t xml:space="preserve">Explore Wildlife TV</t>
  </si>
  <si>
    <t xml:space="preserve">https://www.youtube.com/channel/UCk_X16alT78TAlhbvlv1d6A</t>
  </si>
  <si>
    <t xml:space="preserve">AI: chim/mẹ bảo vệ tổ, N Days From Egg, 10–15 phút</t>
  </si>
  <si>
    <t xml:space="preserve">12.8k</t>
  </si>
  <si>
    <t xml:space="preserve">20/09</t>
  </si>
  <si>
    <t xml:space="preserve">Đăng thưa (12 ngày chưa có video)</t>
  </si>
  <si>
    <t xml:space="preserve">Raw Animals Footage</t>
  </si>
  <si>
    <t xml:space="preserve">https://www.youtube.com/channel/UCkaBZYQF_F-1pwiK9WGoTfQ</t>
  </si>
  <si>
    <t xml:space="preserve">AI: Can the [bố mẹ] Save Its Chick from [thú săn]?, 11 phút</t>
  </si>
  <si>
    <t xml:space="preserve">13.9k</t>
  </si>
  <si>
    <t xml:space="preserve">Có hit 704k, còn lại 12–38k</t>
  </si>
  <si>
    <t xml:space="preserve">Pulso Salvaje HH</t>
  </si>
  <si>
    <t xml:space="preserve">https://www.youtube.com/channel/UCdC-mGCP9dVn8eCHiekQ58Q</t>
  </si>
  <si>
    <t xml:space="preserve">AI: Honey Badger / Mother vs [kẻ thù], 10–13 phút, mỗi ngày</t>
  </si>
  <si>
    <t xml:space="preserve">3.1k</t>
  </si>
  <si>
    <t xml:space="preserve">Dao động lớn</t>
  </si>
  <si>
    <t xml:space="preserve">Wildlife Kingdom Stories</t>
  </si>
  <si>
    <t xml:space="preserve">https://www.youtube.com/channel/UC5roN5B4CO5k3Thj_xvLlvA</t>
  </si>
  <si>
    <t xml:space="preserve">AI: [Loài] Mother Gives Birth In A Hidden Den - But…, 10–17 phút, mỗi ngày</t>
  </si>
  <si>
    <t xml:space="preserve">2.4k</t>
  </si>
  <si>
    <t xml:space="preserve">B↑</t>
  </si>
  <si>
    <t xml:space="preserve">Đang lên: video mới vph 500–800</t>
  </si>
  <si>
    <t xml:space="preserve">WildCycle Explained</t>
  </si>
  <si>
    <t xml:space="preserve">https://www.youtube.com/channel/UCJmrhG04d35dzh1xXW1uPMg</t>
  </si>
  <si>
    <t xml:space="preserve">AI: truyện ngắn 8 phút con non/ăn trộm trứng</t>
  </si>
  <si>
    <t xml:space="preserve">4.3k</t>
  </si>
  <si>
    <t xml:space="preserve">3 ngày/video; Cheetah 658k, Baboon-cub 373k</t>
  </si>
  <si>
    <t xml:space="preserve">Wildlife Kingdom</t>
  </si>
  <si>
    <t xml:space="preserve">https://www.youtube.com/channel/UCjsUAeUrKYXnCgfspXvA3xg</t>
  </si>
  <si>
    <t xml:space="preserve">AI micro-story 8–10 phút</t>
  </si>
  <si>
    <t xml:space="preserve">21k</t>
  </si>
  <si>
    <t xml:space="preserve">Z</t>
  </si>
  <si>
    <t xml:space="preserve">17/08</t>
  </si>
  <si>
    <t xml:space="preserve">NGỪNG ĐĂNG từ 17/08</t>
  </si>
  <si>
    <t xml:space="preserve">Wildlife Survival-VDN</t>
  </si>
  <si>
    <t xml:space="preserve">https://www.youtube.com/channel/UCD004YbdukmeACXKt04KQAA</t>
  </si>
  <si>
    <t xml:space="preserve">AI: honey badger mẹ, cộng sinh</t>
  </si>
  <si>
    <t xml:space="preserve">18.2k</t>
  </si>
  <si>
    <t xml:space="preserve">29/08</t>
  </si>
  <si>
    <t xml:space="preserve">NGỪNG ĐĂNG từ 29/08</t>
  </si>
  <si>
    <t xml:space="preserve">Wild Bird Survival</t>
  </si>
  <si>
    <t xml:space="preserve">https://www.youtube.com/channel/UCsYEZah0zh0XCIaOHrkh93Q</t>
  </si>
  <si>
    <t xml:space="preserve">AI: oxpecker, honey badger, mẹ bảo vệ con</t>
  </si>
  <si>
    <t xml:space="preserve">34.8k</t>
  </si>
  <si>
    <t xml:space="preserve">18/08</t>
  </si>
  <si>
    <t xml:space="preserve">NGỪNG ĐĂNG từ 18/08; tháng 7 có 4 video &gt;2M</t>
  </si>
  <si>
    <t xml:space="preserve">Inside The WILD</t>
  </si>
  <si>
    <t xml:space="preserve">https://www.youtube.com/channel/UCuRFcS830VPUZDmvXDqDTew</t>
  </si>
  <si>
    <t xml:space="preserve">AI: [A] vs [B] mẹ bảo vệ con, 8 phút</t>
  </si>
  <si>
    <t xml:space="preserve">107k</t>
  </si>
  <si>
    <t xml:space="preserve">28/07</t>
  </si>
  <si>
    <t xml:space="preserve">NGỪNG ĐĂNG từ 28/07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</si>
</sst>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6gf2t9dKojAJcAFaFZFHuw" TargetMode="External"/><Relationship Id="rId2" Type="http://schemas.openxmlformats.org/officeDocument/2006/relationships/hyperlink" Target="https://www.youtube.com/channel/UCzmjWmTHBO6IyqexyGXD5LQ" TargetMode="External"/><Relationship Id="rId3" Type="http://schemas.openxmlformats.org/officeDocument/2006/relationships/hyperlink" Target="https://www.youtube.com/channel/UCF-yHmXbMKxxTPD9gD4o8zw" TargetMode="External"/><Relationship Id="rId4" Type="http://schemas.openxmlformats.org/officeDocument/2006/relationships/hyperlink" Target="https://www.youtube.com/channel/UC9I0vMcmoJBWqFYg6O7PujA" TargetMode="External"/><Relationship Id="rId5" Type="http://schemas.openxmlformats.org/officeDocument/2006/relationships/hyperlink" Target="https://www.youtube.com/channel/UCE6ue_9IbHGeYsrP58xwn-A" TargetMode="External"/><Relationship Id="rId6" Type="http://schemas.openxmlformats.org/officeDocument/2006/relationships/hyperlink" Target="https://www.youtube.com/channel/UCMVhLAn7fXvYKlwM0ytKNmQ" TargetMode="External"/><Relationship Id="rId7" Type="http://schemas.openxmlformats.org/officeDocument/2006/relationships/hyperlink" Target="https://www.youtube.com/channel/UCoxrPSs31xUUJOYzrZhEi7g" TargetMode="External"/><Relationship Id="rId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nhXRLVlz161PmIuqA9e4A" TargetMode="External"/><Relationship Id="rId2" Type="http://schemas.openxmlformats.org/officeDocument/2006/relationships/hyperlink" Target="https://www.youtube.com/channel/UCha_flZyWH8pu-14DbUIyKw" TargetMode="External"/><Relationship Id="rId3" Type="http://schemas.openxmlformats.org/officeDocument/2006/relationships/hyperlink" Target="https://www.youtube.com/channel/UCuKGkCt69i3Wz37YWPGGL8w" TargetMode="External"/><Relationship Id="rId4" Type="http://schemas.openxmlformats.org/officeDocument/2006/relationships/hyperlink" Target="https://www.youtube.com/channel/UCNjl2ifPH_a4ctP7_s0sjYA" TargetMode="External"/><Relationship Id="rId5" Type="http://schemas.openxmlformats.org/officeDocument/2006/relationships/hyperlink" Target="https://www.youtube.com/channel/UCWYKTiBbx5UjK1RVadB3TSA" TargetMode="External"/><Relationship Id="rId6" Type="http://schemas.openxmlformats.org/officeDocument/2006/relationships/hyperlink" Target="https://www.youtube.com/channel/UCSOHjbISe8Ox63zdm1VSIFQ" TargetMode="External"/><Relationship Id="rId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bYplycuOX6G9THQc_vje0Q" TargetMode="External"/><Relationship Id="rId2" Type="http://schemas.openxmlformats.org/officeDocument/2006/relationships/hyperlink" Target="https://www.youtube.com/channel/UCTC4t6UwEV2itXDPpPOeYhQ" TargetMode="External"/><Relationship Id="rId3" Type="http://schemas.openxmlformats.org/officeDocument/2006/relationships/hyperlink" Target="https://www.youtube.com/channel/UCe9imMhDp6Kn3dn75mzUUZw" TargetMode="External"/><Relationship Id="rId4" Type="http://schemas.openxmlformats.org/officeDocument/2006/relationships/hyperlink" Target="https://www.youtube.com/channel/UCpw_I21AoF3N6Dqm3LLY9bw" TargetMode="External"/><Relationship Id="rId5" Type="http://schemas.openxmlformats.org/officeDocument/2006/relationships/hyperlink" Target="https://www.youtube.com/channel/UCJjUlbs-ZEo4draiZzz66sQ" TargetMode="External"/><Relationship Id="rId6" Type="http://schemas.openxmlformats.org/officeDocument/2006/relationships/hyperlink" Target="https://www.youtube.com/channel/UCI8JzkrwBSJgj0L084SVInQ" TargetMode="External"/><Relationship Id="rId7" Type="http://schemas.openxmlformats.org/officeDocument/2006/relationships/hyperlink" Target="https://www.youtube.com/channel/UCJqWj6DtSJ8WBqEUjcxG5Uw" TargetMode="External"/><Relationship Id="rId8" Type="http://schemas.openxmlformats.org/officeDocument/2006/relationships/hyperlink" Target="https://www.youtube.com/channel/UCk_X16alT78TAlhbvlv1d6A" TargetMode="External"/><Relationship Id="rId9" Type="http://schemas.openxmlformats.org/officeDocument/2006/relationships/hyperlink" Target="https://www.youtube.com/channel/UCkaBZYQF_F-1pwiK9WGoTfQ" TargetMode="External"/><Relationship Id="rId10" Type="http://schemas.openxmlformats.org/officeDocument/2006/relationships/hyperlink" Target="https://www.youtube.com/channel/UCdC-mGCP9dVn8eCHiekQ58Q" TargetMode="External"/><Relationship Id="rId11" Type="http://schemas.openxmlformats.org/officeDocument/2006/relationships/hyperlink" Target="https://www.youtube.com/channel/UC5roN5B4CO5k3Thj_xvLlvA" TargetMode="External"/><Relationship Id="rId12" Type="http://schemas.openxmlformats.org/officeDocument/2006/relationships/hyperlink" Target="https://www.youtube.com/channel/UCJmrhG04d35dzh1xXW1uPMg" TargetMode="External"/><Relationship Id="rId1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jsUAeUrKYXnCgfspXvA3xg" TargetMode="External"/><Relationship Id="rId2" Type="http://schemas.openxmlformats.org/officeDocument/2006/relationships/hyperlink" Target="https://www.youtube.com/channel/UCD004YbdukmeACXKt04KQAA" TargetMode="External"/><Relationship Id="rId3" Type="http://schemas.openxmlformats.org/officeDocument/2006/relationships/hyperlink" Target="https://www.youtube.com/channel/UCsYEZah0zh0XCIaOHrkh93Q" TargetMode="External"/><Relationship Id="rId4" Type="http://schemas.openxmlformats.org/officeDocument/2006/relationships/hyperlink" Target="https://www.youtube.com/channel/UCuRFcS830VPUZDmvXDqDTew" TargetMode="External"/><Relationship Id="rId5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10" min="7" style="1" width="12"/>
    <col collapsed="false" customWidth="true" hidden="false" outlineLevel="0" max="11" min="11" style="1" width="9"/>
    <col collapsed="false" customWidth="true" hidden="false" outlineLevel="0" max="12" min="12" style="1" width="7"/>
    <col collapsed="false" customWidth="true" hidden="false" outlineLevel="0" max="13" min="13" style="1" width="14"/>
    <col collapsed="false" customWidth="true" hidden="false" outlineLevel="0" max="14" min="14" style="1" width="5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14</v>
      </c>
      <c r="B2" s="4" t="s">
        <v>15</v>
      </c>
      <c r="C2" s="5" t="s">
        <v>16</v>
      </c>
      <c r="D2" s="6" t="n">
        <f aca="false">ROUND(AVERAGE(F2:J2),0)</f>
        <v>800120</v>
      </c>
      <c r="E2" s="7" t="n">
        <f aca="false">MEDIAN(F2:J2)</f>
        <v>460707</v>
      </c>
      <c r="F2" s="7" t="n">
        <v>2282702</v>
      </c>
      <c r="G2" s="7" t="n">
        <v>856469</v>
      </c>
      <c r="H2" s="7" t="n">
        <v>255188</v>
      </c>
      <c r="I2" s="7" t="n">
        <v>145536</v>
      </c>
      <c r="J2" s="7" t="n">
        <v>460707</v>
      </c>
      <c r="K2" s="3" t="s">
        <v>17</v>
      </c>
      <c r="L2" s="3" t="s">
        <v>18</v>
      </c>
      <c r="M2" s="3" t="s">
        <v>19</v>
      </c>
      <c r="N2" s="5" t="s">
        <v>20</v>
      </c>
    </row>
    <row r="3" customFormat="false" ht="15" hidden="false" customHeight="true" outlineLevel="0" collapsed="false">
      <c r="A3" s="3" t="s">
        <v>21</v>
      </c>
      <c r="B3" s="4" t="s">
        <v>22</v>
      </c>
      <c r="C3" s="5" t="s">
        <v>23</v>
      </c>
      <c r="D3" s="6" t="n">
        <f aca="false">ROUND(AVERAGE(F3:J3),0)</f>
        <v>782245</v>
      </c>
      <c r="E3" s="7" t="n">
        <f aca="false">MEDIAN(F3:J3)</f>
        <v>597119</v>
      </c>
      <c r="F3" s="7" t="n">
        <v>389863</v>
      </c>
      <c r="G3" s="7" t="n">
        <v>472389</v>
      </c>
      <c r="H3" s="7" t="n">
        <v>597119</v>
      </c>
      <c r="I3" s="7" t="n">
        <v>1252452</v>
      </c>
      <c r="J3" s="7" t="n">
        <v>1199402</v>
      </c>
      <c r="K3" s="3" t="s">
        <v>24</v>
      </c>
      <c r="L3" s="3" t="s">
        <v>18</v>
      </c>
      <c r="M3" s="3" t="s">
        <v>19</v>
      </c>
      <c r="N3" s="5" t="s">
        <v>25</v>
      </c>
    </row>
    <row r="4" customFormat="false" ht="15" hidden="false" customHeight="true" outlineLevel="0" collapsed="false">
      <c r="A4" s="3" t="s">
        <v>26</v>
      </c>
      <c r="B4" s="4" t="s">
        <v>27</v>
      </c>
      <c r="C4" s="5" t="s">
        <v>28</v>
      </c>
      <c r="D4" s="6" t="n">
        <f aca="false">ROUND(AVERAGE(F4:J4),0)</f>
        <v>907550</v>
      </c>
      <c r="E4" s="7" t="n">
        <f aca="false">MEDIAN(F4:J4)</f>
        <v>348436</v>
      </c>
      <c r="F4" s="7" t="n">
        <v>471489</v>
      </c>
      <c r="G4" s="7" t="n">
        <v>3159768</v>
      </c>
      <c r="H4" s="7" t="n">
        <v>348436</v>
      </c>
      <c r="I4" s="7" t="n">
        <v>238205</v>
      </c>
      <c r="J4" s="7" t="n">
        <v>319852</v>
      </c>
      <c r="K4" s="3" t="s">
        <v>29</v>
      </c>
      <c r="L4" s="3" t="s">
        <v>18</v>
      </c>
      <c r="M4" s="3" t="s">
        <v>30</v>
      </c>
      <c r="N4" s="5" t="s">
        <v>31</v>
      </c>
    </row>
    <row r="5" customFormat="false" ht="15" hidden="false" customHeight="true" outlineLevel="0" collapsed="false">
      <c r="A5" s="3" t="s">
        <v>32</v>
      </c>
      <c r="B5" s="4" t="s">
        <v>33</v>
      </c>
      <c r="C5" s="5" t="s">
        <v>34</v>
      </c>
      <c r="D5" s="6" t="n">
        <f aca="false">ROUND(AVERAGE(F5:J5),0)</f>
        <v>331376</v>
      </c>
      <c r="E5" s="7" t="n">
        <f aca="false">MEDIAN(F5:J5)</f>
        <v>207762</v>
      </c>
      <c r="F5" s="7" t="n">
        <v>207762</v>
      </c>
      <c r="G5" s="7" t="n">
        <v>674755</v>
      </c>
      <c r="H5" s="7" t="n">
        <v>753914</v>
      </c>
      <c r="I5" s="7" t="n">
        <v>7940</v>
      </c>
      <c r="J5" s="7" t="n">
        <v>12509</v>
      </c>
      <c r="K5" s="3" t="s">
        <v>35</v>
      </c>
      <c r="L5" s="3" t="s">
        <v>18</v>
      </c>
      <c r="M5" s="3" t="s">
        <v>36</v>
      </c>
      <c r="N5" s="5" t="s">
        <v>37</v>
      </c>
    </row>
    <row r="6" customFormat="false" ht="15" hidden="false" customHeight="true" outlineLevel="0" collapsed="false">
      <c r="A6" s="3" t="s">
        <v>38</v>
      </c>
      <c r="B6" s="4" t="s">
        <v>39</v>
      </c>
      <c r="C6" s="5" t="s">
        <v>40</v>
      </c>
      <c r="D6" s="6" t="n">
        <f aca="false">ROUND(AVERAGE(F6:J6),0)</f>
        <v>522570</v>
      </c>
      <c r="E6" s="7" t="n">
        <f aca="false">MEDIAN(F6:J6)</f>
        <v>277200</v>
      </c>
      <c r="F6" s="7" t="n">
        <v>5748</v>
      </c>
      <c r="G6" s="7" t="n">
        <v>1816468</v>
      </c>
      <c r="H6" s="7" t="n">
        <v>476127</v>
      </c>
      <c r="I6" s="7" t="n">
        <v>37308</v>
      </c>
      <c r="J6" s="7" t="n">
        <v>277200</v>
      </c>
      <c r="K6" s="3" t="s">
        <v>41</v>
      </c>
      <c r="L6" s="3" t="s">
        <v>42</v>
      </c>
      <c r="M6" s="3" t="s">
        <v>36</v>
      </c>
      <c r="N6" s="5" t="s">
        <v>43</v>
      </c>
    </row>
    <row r="7" customFormat="false" ht="15" hidden="false" customHeight="true" outlineLevel="0" collapsed="false">
      <c r="A7" s="3" t="s">
        <v>44</v>
      </c>
      <c r="B7" s="4" t="s">
        <v>45</v>
      </c>
      <c r="C7" s="5" t="s">
        <v>46</v>
      </c>
      <c r="D7" s="6" t="n">
        <f aca="false">ROUND(AVERAGE(F7:J7),0)</f>
        <v>177809</v>
      </c>
      <c r="E7" s="7" t="n">
        <f aca="false">MEDIAN(F7:J7)</f>
        <v>70764</v>
      </c>
      <c r="F7" s="7" t="n">
        <v>18845</v>
      </c>
      <c r="G7" s="7" t="n">
        <v>495339</v>
      </c>
      <c r="H7" s="7" t="n">
        <v>283613</v>
      </c>
      <c r="I7" s="7" t="n">
        <v>70764</v>
      </c>
      <c r="J7" s="7" t="n">
        <v>20486</v>
      </c>
      <c r="K7" s="3" t="s">
        <v>47</v>
      </c>
      <c r="L7" s="3" t="s">
        <v>42</v>
      </c>
      <c r="M7" s="3" t="s">
        <v>48</v>
      </c>
      <c r="N7" s="5" t="s">
        <v>49</v>
      </c>
    </row>
    <row r="8" customFormat="false" ht="15" hidden="false" customHeight="true" outlineLevel="0" collapsed="false">
      <c r="A8" s="3" t="s">
        <v>50</v>
      </c>
      <c r="B8" s="4" t="s">
        <v>51</v>
      </c>
      <c r="C8" s="5" t="s">
        <v>52</v>
      </c>
      <c r="D8" s="6" t="n">
        <f aca="false">ROUND(AVERAGE(F8:J8),0)</f>
        <v>96916</v>
      </c>
      <c r="E8" s="7" t="n">
        <f aca="false">MEDIAN(F8:J8)</f>
        <v>47661</v>
      </c>
      <c r="F8" s="7" t="n">
        <v>213652</v>
      </c>
      <c r="G8" s="7" t="n">
        <v>149941</v>
      </c>
      <c r="H8" s="7" t="n">
        <v>39616</v>
      </c>
      <c r="I8" s="7" t="n">
        <v>33711</v>
      </c>
      <c r="J8" s="7" t="n">
        <v>47661</v>
      </c>
      <c r="K8" s="3" t="s">
        <v>53</v>
      </c>
      <c r="L8" s="3" t="s">
        <v>42</v>
      </c>
      <c r="M8" s="3" t="s">
        <v>54</v>
      </c>
      <c r="N8" s="5" t="s">
        <v>55</v>
      </c>
    </row>
    <row r="10" customFormat="false" ht="15" hidden="false" customHeight="true" outlineLevel="0" collapsed="false">
      <c r="A10" s="8" t="s">
        <v>56</v>
      </c>
    </row>
  </sheetData>
  <autoFilter ref="A1:N8"/>
  <hyperlinks>
    <hyperlink ref="B2" r:id="rId1" display="https://www.youtube.com/channel/UC6gf2t9dKojAJcAFaFZFHuw"/>
    <hyperlink ref="B3" r:id="rId2" display="https://www.youtube.com/channel/UCzmjWmTHBO6IyqexyGXD5LQ"/>
    <hyperlink ref="B4" r:id="rId3" display="https://www.youtube.com/channel/UCF-yHmXbMKxxTPD9gD4o8zw"/>
    <hyperlink ref="B5" r:id="rId4" display="https://www.youtube.com/channel/UC9I0vMcmoJBWqFYg6O7PujA"/>
    <hyperlink ref="B6" r:id="rId5" display="https://www.youtube.com/channel/UCE6ue_9IbHGeYsrP58xwn-A"/>
    <hyperlink ref="B7" r:id="rId6" display="https://www.youtube.com/channel/UCMVhLAn7fXvYKlwM0ytKNmQ"/>
    <hyperlink ref="B8" r:id="rId7" display="https://www.youtube.com/channel/UCoxrPSs31xUUJOYzrZhEi7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10" min="7" style="1" width="12"/>
    <col collapsed="false" customWidth="true" hidden="false" outlineLevel="0" max="11" min="11" style="1" width="9"/>
    <col collapsed="false" customWidth="true" hidden="false" outlineLevel="0" max="12" min="12" style="1" width="7"/>
    <col collapsed="false" customWidth="true" hidden="false" outlineLevel="0" max="13" min="13" style="1" width="14"/>
    <col collapsed="false" customWidth="true" hidden="false" outlineLevel="0" max="14" min="14" style="1" width="5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57</v>
      </c>
      <c r="B2" s="4" t="s">
        <v>58</v>
      </c>
      <c r="C2" s="5" t="s">
        <v>59</v>
      </c>
      <c r="D2" s="6" t="n">
        <f aca="false">ROUND(AVERAGE(F2:J2),0)</f>
        <v>61365029</v>
      </c>
      <c r="E2" s="7" t="n">
        <f aca="false">MEDIAN(F2:J2)</f>
        <v>61365029</v>
      </c>
      <c r="F2" s="7" t="n">
        <v>61365029</v>
      </c>
      <c r="G2" s="7"/>
      <c r="H2" s="7"/>
      <c r="I2" s="7"/>
      <c r="J2" s="7"/>
      <c r="K2" s="3" t="s">
        <v>60</v>
      </c>
      <c r="L2" s="3" t="s">
        <v>61</v>
      </c>
      <c r="M2" s="3" t="s">
        <v>62</v>
      </c>
      <c r="N2" s="5" t="s">
        <v>63</v>
      </c>
    </row>
    <row r="3" customFormat="false" ht="15" hidden="false" customHeight="true" outlineLevel="0" collapsed="false">
      <c r="A3" s="3" t="s">
        <v>64</v>
      </c>
      <c r="B3" s="4" t="s">
        <v>65</v>
      </c>
      <c r="C3" s="5" t="s">
        <v>66</v>
      </c>
      <c r="D3" s="6" t="n">
        <f aca="false">ROUND(AVERAGE(F3:J3),0)</f>
        <v>1965325</v>
      </c>
      <c r="E3" s="7" t="n">
        <f aca="false">MEDIAN(F3:J3)</f>
        <v>378913.5</v>
      </c>
      <c r="F3" s="7" t="n">
        <v>13699</v>
      </c>
      <c r="G3" s="7" t="n">
        <v>376287</v>
      </c>
      <c r="H3" s="7" t="n">
        <v>7089773</v>
      </c>
      <c r="I3" s="7" t="n">
        <v>381540</v>
      </c>
      <c r="J3" s="7"/>
      <c r="K3" s="3" t="s">
        <v>67</v>
      </c>
      <c r="L3" s="3" t="s">
        <v>61</v>
      </c>
      <c r="M3" s="3" t="s">
        <v>54</v>
      </c>
      <c r="N3" s="5" t="s">
        <v>68</v>
      </c>
    </row>
    <row r="4" customFormat="false" ht="15" hidden="false" customHeight="true" outlineLevel="0" collapsed="false">
      <c r="A4" s="3" t="s">
        <v>69</v>
      </c>
      <c r="B4" s="4" t="s">
        <v>70</v>
      </c>
      <c r="C4" s="5" t="s">
        <v>71</v>
      </c>
      <c r="D4" s="6" t="n">
        <f aca="false">ROUND(AVERAGE(F4:J4),0)</f>
        <v>1122390</v>
      </c>
      <c r="E4" s="7" t="n">
        <f aca="false">MEDIAN(F4:J4)</f>
        <v>207258</v>
      </c>
      <c r="F4" s="7" t="n">
        <v>4418</v>
      </c>
      <c r="G4" s="7" t="n">
        <v>437297</v>
      </c>
      <c r="H4" s="7" t="n">
        <v>4955458</v>
      </c>
      <c r="I4" s="7" t="n">
        <v>7521</v>
      </c>
      <c r="J4" s="7" t="n">
        <v>207258</v>
      </c>
      <c r="K4" s="3" t="s">
        <v>72</v>
      </c>
      <c r="L4" s="3" t="s">
        <v>61</v>
      </c>
      <c r="M4" s="3" t="s">
        <v>36</v>
      </c>
      <c r="N4" s="5" t="s">
        <v>73</v>
      </c>
    </row>
    <row r="5" customFormat="false" ht="15" hidden="false" customHeight="true" outlineLevel="0" collapsed="false">
      <c r="A5" s="3" t="s">
        <v>74</v>
      </c>
      <c r="B5" s="4" t="s">
        <v>75</v>
      </c>
      <c r="C5" s="5" t="s">
        <v>76</v>
      </c>
      <c r="D5" s="6" t="n">
        <f aca="false">ROUND(AVERAGE(F5:J5),0)</f>
        <v>565133</v>
      </c>
      <c r="E5" s="7" t="n">
        <f aca="false">MEDIAN(F5:J5)</f>
        <v>26699</v>
      </c>
      <c r="F5" s="7" t="n">
        <v>2611783</v>
      </c>
      <c r="G5" s="7" t="n">
        <v>23801</v>
      </c>
      <c r="H5" s="7" t="n">
        <v>26699</v>
      </c>
      <c r="I5" s="7" t="n">
        <v>156173</v>
      </c>
      <c r="J5" s="7" t="n">
        <v>7208</v>
      </c>
      <c r="K5" s="3" t="s">
        <v>77</v>
      </c>
      <c r="L5" s="3" t="s">
        <v>61</v>
      </c>
      <c r="M5" s="3" t="s">
        <v>36</v>
      </c>
      <c r="N5" s="5" t="s">
        <v>78</v>
      </c>
    </row>
    <row r="6" customFormat="false" ht="15" hidden="false" customHeight="true" outlineLevel="0" collapsed="false">
      <c r="A6" s="3" t="s">
        <v>79</v>
      </c>
      <c r="B6" s="4" t="s">
        <v>80</v>
      </c>
      <c r="C6" s="5" t="s">
        <v>81</v>
      </c>
      <c r="D6" s="6" t="n">
        <f aca="false">ROUND(AVERAGE(F6:J6),0)</f>
        <v>331339</v>
      </c>
      <c r="E6" s="7" t="n">
        <f aca="false">MEDIAN(F6:J6)</f>
        <v>106831</v>
      </c>
      <c r="F6" s="7" t="n">
        <v>14829</v>
      </c>
      <c r="G6" s="7" t="n">
        <v>106831</v>
      </c>
      <c r="H6" s="7" t="n">
        <v>172895</v>
      </c>
      <c r="I6" s="7" t="n">
        <v>1360596</v>
      </c>
      <c r="J6" s="7" t="n">
        <v>1543</v>
      </c>
      <c r="K6" s="3" t="s">
        <v>82</v>
      </c>
      <c r="L6" s="3" t="s">
        <v>61</v>
      </c>
      <c r="M6" s="3" t="s">
        <v>54</v>
      </c>
      <c r="N6" s="5" t="s">
        <v>83</v>
      </c>
    </row>
    <row r="7" customFormat="false" ht="15" hidden="false" customHeight="true" outlineLevel="0" collapsed="false">
      <c r="A7" s="3" t="s">
        <v>84</v>
      </c>
      <c r="B7" s="4" t="s">
        <v>85</v>
      </c>
      <c r="C7" s="5" t="s">
        <v>86</v>
      </c>
      <c r="D7" s="6" t="n">
        <f aca="false">ROUND(AVERAGE(F7:J7),0)</f>
        <v>751677</v>
      </c>
      <c r="E7" s="7" t="n">
        <f aca="false">MEDIAN(F7:J7)</f>
        <v>234</v>
      </c>
      <c r="F7" s="7" t="n">
        <v>3756886</v>
      </c>
      <c r="G7" s="7" t="n">
        <v>951</v>
      </c>
      <c r="H7" s="7" t="n">
        <v>207</v>
      </c>
      <c r="I7" s="7" t="n">
        <v>234</v>
      </c>
      <c r="J7" s="7" t="n">
        <v>108</v>
      </c>
      <c r="K7" s="3" t="s">
        <v>87</v>
      </c>
      <c r="L7" s="3" t="s">
        <v>61</v>
      </c>
      <c r="M7" s="3" t="s">
        <v>48</v>
      </c>
      <c r="N7" s="5" t="s">
        <v>88</v>
      </c>
    </row>
    <row r="9" customFormat="false" ht="15" hidden="false" customHeight="true" outlineLevel="0" collapsed="false">
      <c r="A9" s="8" t="s">
        <v>56</v>
      </c>
    </row>
  </sheetData>
  <autoFilter ref="A1:N7"/>
  <hyperlinks>
    <hyperlink ref="B2" r:id="rId1" display="https://www.youtube.com/channel/UCQnhXRLVlz161PmIuqA9e4A"/>
    <hyperlink ref="B3" r:id="rId2" display="https://www.youtube.com/channel/UCha_flZyWH8pu-14DbUIyKw"/>
    <hyperlink ref="B4" r:id="rId3" display="https://www.youtube.com/channel/UCuKGkCt69i3Wz37YWPGGL8w"/>
    <hyperlink ref="B5" r:id="rId4" display="https://www.youtube.com/channel/UCNjl2ifPH_a4ctP7_s0sjYA"/>
    <hyperlink ref="B6" r:id="rId5" display="https://www.youtube.com/channel/UCWYKTiBbx5UjK1RVadB3TSA"/>
    <hyperlink ref="B7" r:id="rId6" display="https://www.youtube.com/channel/UCSOHjbISe8Ox63zdm1VSIF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10" min="7" style="1" width="12"/>
    <col collapsed="false" customWidth="true" hidden="false" outlineLevel="0" max="11" min="11" style="1" width="9"/>
    <col collapsed="false" customWidth="true" hidden="false" outlineLevel="0" max="12" min="12" style="1" width="7"/>
    <col collapsed="false" customWidth="true" hidden="false" outlineLevel="0" max="13" min="13" style="1" width="14"/>
    <col collapsed="false" customWidth="true" hidden="false" outlineLevel="0" max="14" min="14" style="1" width="5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89</v>
      </c>
      <c r="B2" s="4" t="s">
        <v>90</v>
      </c>
      <c r="C2" s="5" t="s">
        <v>91</v>
      </c>
      <c r="D2" s="6" t="n">
        <f aca="false">ROUND(AVERAGE(F2:J2),0)</f>
        <v>540223</v>
      </c>
      <c r="E2" s="7" t="n">
        <f aca="false">MEDIAN(F2:J2)</f>
        <v>320106</v>
      </c>
      <c r="F2" s="7" t="n">
        <v>245616</v>
      </c>
      <c r="G2" s="7" t="n">
        <v>309024</v>
      </c>
      <c r="H2" s="7" t="n">
        <v>352598</v>
      </c>
      <c r="I2" s="7" t="n">
        <v>320106</v>
      </c>
      <c r="J2" s="7" t="n">
        <v>1473769</v>
      </c>
      <c r="K2" s="3" t="s">
        <v>92</v>
      </c>
      <c r="L2" s="3" t="s">
        <v>18</v>
      </c>
      <c r="M2" s="3" t="s">
        <v>30</v>
      </c>
      <c r="N2" s="5" t="s">
        <v>93</v>
      </c>
    </row>
    <row r="3" customFormat="false" ht="15" hidden="false" customHeight="true" outlineLevel="0" collapsed="false">
      <c r="A3" s="3" t="s">
        <v>94</v>
      </c>
      <c r="B3" s="4" t="s">
        <v>95</v>
      </c>
      <c r="C3" s="5" t="s">
        <v>96</v>
      </c>
      <c r="D3" s="6" t="n">
        <f aca="false">ROUND(AVERAGE(F3:J3),0)</f>
        <v>270993</v>
      </c>
      <c r="E3" s="7" t="n">
        <f aca="false">MEDIAN(F3:J3)</f>
        <v>246831</v>
      </c>
      <c r="F3" s="7" t="n">
        <v>356264</v>
      </c>
      <c r="G3" s="7" t="n">
        <v>172900</v>
      </c>
      <c r="H3" s="7" t="n">
        <v>419785</v>
      </c>
      <c r="I3" s="7" t="n">
        <v>246831</v>
      </c>
      <c r="J3" s="7" t="n">
        <v>159185</v>
      </c>
      <c r="K3" s="3" t="s">
        <v>97</v>
      </c>
      <c r="L3" s="3" t="s">
        <v>18</v>
      </c>
      <c r="M3" s="3" t="s">
        <v>48</v>
      </c>
      <c r="N3" s="5" t="s">
        <v>98</v>
      </c>
    </row>
    <row r="4" customFormat="false" ht="15" hidden="false" customHeight="true" outlineLevel="0" collapsed="false">
      <c r="A4" s="3" t="s">
        <v>99</v>
      </c>
      <c r="B4" s="4" t="s">
        <v>100</v>
      </c>
      <c r="C4" s="5" t="s">
        <v>101</v>
      </c>
      <c r="D4" s="6" t="n">
        <f aca="false">ROUND(AVERAGE(F4:J4),0)</f>
        <v>577180</v>
      </c>
      <c r="E4" s="7" t="n">
        <f aca="false">MEDIAN(F4:J4)</f>
        <v>109045</v>
      </c>
      <c r="F4" s="7" t="n">
        <v>82300</v>
      </c>
      <c r="G4" s="7" t="n">
        <v>101662</v>
      </c>
      <c r="H4" s="7" t="n">
        <v>1796522</v>
      </c>
      <c r="I4" s="7" t="n">
        <v>109045</v>
      </c>
      <c r="J4" s="7" t="n">
        <v>796371</v>
      </c>
      <c r="K4" s="3" t="s">
        <v>102</v>
      </c>
      <c r="L4" s="3" t="s">
        <v>18</v>
      </c>
      <c r="M4" s="3" t="s">
        <v>36</v>
      </c>
      <c r="N4" s="5" t="s">
        <v>103</v>
      </c>
    </row>
    <row r="5" customFormat="false" ht="15" hidden="false" customHeight="true" outlineLevel="0" collapsed="false">
      <c r="A5" s="3" t="s">
        <v>104</v>
      </c>
      <c r="B5" s="4" t="s">
        <v>105</v>
      </c>
      <c r="C5" s="5" t="s">
        <v>106</v>
      </c>
      <c r="D5" s="6" t="n">
        <f aca="false">ROUND(AVERAGE(F5:J5),0)</f>
        <v>1171877</v>
      </c>
      <c r="E5" s="7" t="n">
        <f aca="false">MEDIAN(F5:J5)</f>
        <v>210398</v>
      </c>
      <c r="F5" s="7" t="n">
        <v>93728</v>
      </c>
      <c r="G5" s="7" t="n">
        <v>664797</v>
      </c>
      <c r="H5" s="7" t="n">
        <v>210398</v>
      </c>
      <c r="I5" s="7" t="n">
        <v>104352</v>
      </c>
      <c r="J5" s="7" t="n">
        <v>4786109</v>
      </c>
      <c r="K5" s="3" t="s">
        <v>97</v>
      </c>
      <c r="L5" s="3" t="s">
        <v>18</v>
      </c>
      <c r="M5" s="3" t="s">
        <v>48</v>
      </c>
      <c r="N5" s="5" t="s">
        <v>107</v>
      </c>
    </row>
    <row r="6" customFormat="false" ht="15" hidden="false" customHeight="true" outlineLevel="0" collapsed="false">
      <c r="A6" s="3" t="s">
        <v>108</v>
      </c>
      <c r="B6" s="4" t="s">
        <v>109</v>
      </c>
      <c r="C6" s="5" t="s">
        <v>110</v>
      </c>
      <c r="D6" s="6" t="n">
        <f aca="false">ROUND(AVERAGE(F6:J6),0)</f>
        <v>119183</v>
      </c>
      <c r="E6" s="7" t="n">
        <f aca="false">MEDIAN(F6:J6)</f>
        <v>96693</v>
      </c>
      <c r="F6" s="7" t="n">
        <v>39235</v>
      </c>
      <c r="G6" s="7" t="n">
        <v>203543</v>
      </c>
      <c r="H6" s="7" t="n">
        <v>96693</v>
      </c>
      <c r="I6" s="7" t="n">
        <v>86935</v>
      </c>
      <c r="J6" s="7" t="n">
        <v>169511</v>
      </c>
      <c r="K6" s="3" t="s">
        <v>111</v>
      </c>
      <c r="L6" s="3" t="s">
        <v>18</v>
      </c>
      <c r="M6" s="3" t="s">
        <v>36</v>
      </c>
      <c r="N6" s="5" t="s">
        <v>112</v>
      </c>
    </row>
    <row r="7" customFormat="false" ht="15" hidden="false" customHeight="true" outlineLevel="0" collapsed="false">
      <c r="A7" s="3" t="s">
        <v>113</v>
      </c>
      <c r="B7" s="4" t="s">
        <v>114</v>
      </c>
      <c r="C7" s="5" t="s">
        <v>115</v>
      </c>
      <c r="D7" s="6" t="n">
        <f aca="false">ROUND(AVERAGE(F7:J7),0)</f>
        <v>144349</v>
      </c>
      <c r="E7" s="7" t="n">
        <f aca="false">MEDIAN(F7:J7)</f>
        <v>61258</v>
      </c>
      <c r="F7" s="7" t="n">
        <v>60267</v>
      </c>
      <c r="G7" s="7" t="n">
        <v>61258</v>
      </c>
      <c r="H7" s="7" t="n">
        <v>399108</v>
      </c>
      <c r="I7" s="7" t="n">
        <v>43600</v>
      </c>
      <c r="J7" s="7" t="n">
        <v>157512</v>
      </c>
      <c r="K7" s="3" t="s">
        <v>116</v>
      </c>
      <c r="L7" s="3" t="s">
        <v>42</v>
      </c>
      <c r="M7" s="3" t="s">
        <v>48</v>
      </c>
      <c r="N7" s="5" t="s">
        <v>117</v>
      </c>
    </row>
    <row r="8" customFormat="false" ht="15" hidden="false" customHeight="true" outlineLevel="0" collapsed="false">
      <c r="A8" s="3" t="s">
        <v>118</v>
      </c>
      <c r="B8" s="4" t="s">
        <v>119</v>
      </c>
      <c r="C8" s="5" t="s">
        <v>120</v>
      </c>
      <c r="D8" s="6" t="n">
        <f aca="false">ROUND(AVERAGE(F8:J8),0)</f>
        <v>236712</v>
      </c>
      <c r="E8" s="7" t="n">
        <f aca="false">MEDIAN(F8:J8)</f>
        <v>53402</v>
      </c>
      <c r="F8" s="7" t="n">
        <v>23066</v>
      </c>
      <c r="G8" s="7" t="n">
        <v>577075</v>
      </c>
      <c r="H8" s="7" t="n">
        <v>516234</v>
      </c>
      <c r="I8" s="7" t="n">
        <v>53402</v>
      </c>
      <c r="J8" s="7" t="n">
        <v>13784</v>
      </c>
      <c r="K8" s="3" t="s">
        <v>121</v>
      </c>
      <c r="L8" s="3" t="s">
        <v>42</v>
      </c>
      <c r="M8" s="3" t="s">
        <v>122</v>
      </c>
      <c r="N8" s="5" t="s">
        <v>123</v>
      </c>
    </row>
    <row r="9" customFormat="false" ht="15" hidden="false" customHeight="true" outlineLevel="0" collapsed="false">
      <c r="A9" s="3" t="s">
        <v>124</v>
      </c>
      <c r="B9" s="4" t="s">
        <v>125</v>
      </c>
      <c r="C9" s="5" t="s">
        <v>126</v>
      </c>
      <c r="D9" s="6" t="n">
        <f aca="false">ROUND(AVERAGE(F9:J9),0)</f>
        <v>145087</v>
      </c>
      <c r="E9" s="7" t="n">
        <f aca="false">MEDIAN(F9:J9)</f>
        <v>146575</v>
      </c>
      <c r="F9" s="7" t="n">
        <v>127640</v>
      </c>
      <c r="G9" s="7" t="n">
        <v>516</v>
      </c>
      <c r="H9" s="7" t="n">
        <v>146575</v>
      </c>
      <c r="I9" s="7" t="n">
        <v>226259</v>
      </c>
      <c r="J9" s="7" t="n">
        <v>224443</v>
      </c>
      <c r="K9" s="3" t="s">
        <v>127</v>
      </c>
      <c r="L9" s="3" t="s">
        <v>42</v>
      </c>
      <c r="M9" s="3" t="s">
        <v>128</v>
      </c>
      <c r="N9" s="5" t="s">
        <v>129</v>
      </c>
    </row>
    <row r="10" customFormat="false" ht="15" hidden="false" customHeight="true" outlineLevel="0" collapsed="false">
      <c r="A10" s="3" t="s">
        <v>130</v>
      </c>
      <c r="B10" s="4" t="s">
        <v>131</v>
      </c>
      <c r="C10" s="5" t="s">
        <v>132</v>
      </c>
      <c r="D10" s="6" t="n">
        <f aca="false">ROUND(AVERAGE(F10:J10),0)</f>
        <v>158138</v>
      </c>
      <c r="E10" s="7" t="n">
        <f aca="false">MEDIAN(F10:J10)</f>
        <v>23936</v>
      </c>
      <c r="F10" s="7" t="n">
        <v>38209</v>
      </c>
      <c r="G10" s="7" t="n">
        <v>23936</v>
      </c>
      <c r="H10" s="7" t="n">
        <v>11618</v>
      </c>
      <c r="I10" s="7" t="n">
        <v>704207</v>
      </c>
      <c r="J10" s="7" t="n">
        <v>12718</v>
      </c>
      <c r="K10" s="3" t="s">
        <v>133</v>
      </c>
      <c r="L10" s="3" t="s">
        <v>42</v>
      </c>
      <c r="M10" s="3" t="s">
        <v>36</v>
      </c>
      <c r="N10" s="5" t="s">
        <v>134</v>
      </c>
    </row>
    <row r="11" customFormat="false" ht="15" hidden="false" customHeight="true" outlineLevel="0" collapsed="false">
      <c r="A11" s="3" t="s">
        <v>135</v>
      </c>
      <c r="B11" s="4" t="s">
        <v>136</v>
      </c>
      <c r="C11" s="5" t="s">
        <v>137</v>
      </c>
      <c r="D11" s="6" t="n">
        <f aca="false">ROUND(AVERAGE(F11:J11),0)</f>
        <v>92642</v>
      </c>
      <c r="E11" s="7" t="n">
        <f aca="false">MEDIAN(F11:J11)</f>
        <v>20336</v>
      </c>
      <c r="F11" s="7" t="n">
        <v>363501</v>
      </c>
      <c r="G11" s="7" t="n">
        <v>6804</v>
      </c>
      <c r="H11" s="7" t="n">
        <v>649</v>
      </c>
      <c r="I11" s="7" t="n">
        <v>71921</v>
      </c>
      <c r="J11" s="7" t="n">
        <v>20336</v>
      </c>
      <c r="K11" s="3" t="s">
        <v>138</v>
      </c>
      <c r="L11" s="3" t="s">
        <v>42</v>
      </c>
      <c r="M11" s="3" t="s">
        <v>48</v>
      </c>
      <c r="N11" s="5" t="s">
        <v>139</v>
      </c>
    </row>
    <row r="12" customFormat="false" ht="15" hidden="false" customHeight="true" outlineLevel="0" collapsed="false">
      <c r="A12" s="3" t="s">
        <v>140</v>
      </c>
      <c r="B12" s="4" t="s">
        <v>141</v>
      </c>
      <c r="C12" s="5" t="s">
        <v>142</v>
      </c>
      <c r="D12" s="6" t="n">
        <f aca="false">ROUND(AVERAGE(F12:J12),0)</f>
        <v>62885</v>
      </c>
      <c r="E12" s="7" t="n">
        <f aca="false">MEDIAN(F12:J12)</f>
        <v>55142</v>
      </c>
      <c r="F12" s="7" t="n">
        <v>108290</v>
      </c>
      <c r="G12" s="7" t="n">
        <v>115381</v>
      </c>
      <c r="H12" s="7" t="n">
        <v>55142</v>
      </c>
      <c r="I12" s="7" t="n">
        <v>32332</v>
      </c>
      <c r="J12" s="7" t="n">
        <v>3279</v>
      </c>
      <c r="K12" s="3" t="s">
        <v>143</v>
      </c>
      <c r="L12" s="3" t="s">
        <v>144</v>
      </c>
      <c r="M12" s="3" t="s">
        <v>48</v>
      </c>
      <c r="N12" s="5" t="s">
        <v>145</v>
      </c>
    </row>
    <row r="13" customFormat="false" ht="15" hidden="false" customHeight="true" outlineLevel="0" collapsed="false">
      <c r="A13" s="3" t="s">
        <v>146</v>
      </c>
      <c r="B13" s="4" t="s">
        <v>147</v>
      </c>
      <c r="C13" s="5" t="s">
        <v>148</v>
      </c>
      <c r="D13" s="6" t="n">
        <f aca="false">ROUND(AVERAGE(F13:J13),0)</f>
        <v>58835</v>
      </c>
      <c r="E13" s="7" t="n">
        <f aca="false">MEDIAN(F13:J13)</f>
        <v>43824</v>
      </c>
      <c r="F13" s="7" t="n">
        <v>43824</v>
      </c>
      <c r="G13" s="7" t="n">
        <v>94278</v>
      </c>
      <c r="H13" s="7" t="n">
        <v>6273</v>
      </c>
      <c r="I13" s="7" t="n">
        <v>115423</v>
      </c>
      <c r="J13" s="7" t="n">
        <v>34379</v>
      </c>
      <c r="K13" s="3" t="s">
        <v>149</v>
      </c>
      <c r="L13" s="3" t="s">
        <v>144</v>
      </c>
      <c r="M13" s="3" t="s">
        <v>54</v>
      </c>
      <c r="N13" s="5" t="s">
        <v>150</v>
      </c>
    </row>
    <row r="15" customFormat="false" ht="15" hidden="false" customHeight="true" outlineLevel="0" collapsed="false">
      <c r="A15" s="8" t="s">
        <v>56</v>
      </c>
    </row>
  </sheetData>
  <autoFilter ref="A1:N13"/>
  <hyperlinks>
    <hyperlink ref="B2" r:id="rId1" display="https://www.youtube.com/channel/UCbYplycuOX6G9THQc_vje0Q"/>
    <hyperlink ref="B3" r:id="rId2" display="https://www.youtube.com/channel/UCTC4t6UwEV2itXDPpPOeYhQ"/>
    <hyperlink ref="B4" r:id="rId3" display="https://www.youtube.com/channel/UCe9imMhDp6Kn3dn75mzUUZw"/>
    <hyperlink ref="B5" r:id="rId4" display="https://www.youtube.com/channel/UCpw_I21AoF3N6Dqm3LLY9bw"/>
    <hyperlink ref="B6" r:id="rId5" display="https://www.youtube.com/channel/UCJjUlbs-ZEo4draiZzz66sQ"/>
    <hyperlink ref="B7" r:id="rId6" display="https://www.youtube.com/channel/UCI8JzkrwBSJgj0L084SVInQ"/>
    <hyperlink ref="B8" r:id="rId7" display="https://www.youtube.com/channel/UCJqWj6DtSJ8WBqEUjcxG5Uw"/>
    <hyperlink ref="B9" r:id="rId8" display="https://www.youtube.com/channel/UCk_X16alT78TAlhbvlv1d6A"/>
    <hyperlink ref="B10" r:id="rId9" display="https://www.youtube.com/channel/UCkaBZYQF_F-1pwiK9WGoTfQ"/>
    <hyperlink ref="B11" r:id="rId10" display="https://www.youtube.com/channel/UCdC-mGCP9dVn8eCHiekQ58Q"/>
    <hyperlink ref="B12" r:id="rId11" display="https://www.youtube.com/channel/UC5roN5B4CO5k3Thj_xvLlvA"/>
    <hyperlink ref="B13" r:id="rId12" display="https://www.youtube.com/channel/UCJmrhG04d35dzh1xXW1uPM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10" min="7" style="1" width="12"/>
    <col collapsed="false" customWidth="true" hidden="false" outlineLevel="0" max="11" min="11" style="1" width="9"/>
    <col collapsed="false" customWidth="true" hidden="false" outlineLevel="0" max="12" min="12" style="1" width="7"/>
    <col collapsed="false" customWidth="true" hidden="false" outlineLevel="0" max="13" min="13" style="1" width="14"/>
    <col collapsed="false" customWidth="true" hidden="false" outlineLevel="0" max="14" min="14" style="1" width="5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151</v>
      </c>
      <c r="B2" s="4" t="s">
        <v>152</v>
      </c>
      <c r="C2" s="5" t="s">
        <v>153</v>
      </c>
      <c r="D2" s="6" t="n">
        <f aca="false">ROUND(AVERAGE(F2:J2),0)</f>
        <v>968050</v>
      </c>
      <c r="E2" s="7" t="n">
        <f aca="false">MEDIAN(F2:J2)</f>
        <v>776476</v>
      </c>
      <c r="F2" s="7" t="n">
        <v>27254</v>
      </c>
      <c r="G2" s="7" t="n">
        <v>1828613</v>
      </c>
      <c r="H2" s="7" t="n">
        <v>27002</v>
      </c>
      <c r="I2" s="7" t="n">
        <v>776476</v>
      </c>
      <c r="J2" s="7" t="n">
        <v>2180907</v>
      </c>
      <c r="K2" s="3" t="s">
        <v>154</v>
      </c>
      <c r="L2" s="3" t="s">
        <v>155</v>
      </c>
      <c r="M2" s="3" t="s">
        <v>156</v>
      </c>
      <c r="N2" s="5" t="s">
        <v>157</v>
      </c>
    </row>
    <row r="3" customFormat="false" ht="15" hidden="false" customHeight="true" outlineLevel="0" collapsed="false">
      <c r="A3" s="3" t="s">
        <v>158</v>
      </c>
      <c r="B3" s="4" t="s">
        <v>159</v>
      </c>
      <c r="C3" s="5" t="s">
        <v>160</v>
      </c>
      <c r="D3" s="6" t="n">
        <f aca="false">ROUND(AVERAGE(F3:J3),0)</f>
        <v>665548</v>
      </c>
      <c r="E3" s="7" t="n">
        <f aca="false">MEDIAN(F3:J3)</f>
        <v>277489</v>
      </c>
      <c r="F3" s="7" t="n">
        <v>277489</v>
      </c>
      <c r="G3" s="7" t="n">
        <v>426141</v>
      </c>
      <c r="H3" s="7" t="n">
        <v>9634</v>
      </c>
      <c r="I3" s="7" t="n">
        <v>4473</v>
      </c>
      <c r="J3" s="7" t="n">
        <v>2610001</v>
      </c>
      <c r="K3" s="3" t="s">
        <v>161</v>
      </c>
      <c r="L3" s="3" t="s">
        <v>155</v>
      </c>
      <c r="M3" s="3" t="s">
        <v>162</v>
      </c>
      <c r="N3" s="5" t="s">
        <v>163</v>
      </c>
    </row>
    <row r="4" customFormat="false" ht="15" hidden="false" customHeight="true" outlineLevel="0" collapsed="false">
      <c r="A4" s="3" t="s">
        <v>164</v>
      </c>
      <c r="B4" s="4" t="s">
        <v>165</v>
      </c>
      <c r="C4" s="5" t="s">
        <v>166</v>
      </c>
      <c r="D4" s="6" t="n">
        <f aca="false">ROUND(AVERAGE(F4:J4),0)</f>
        <v>56563</v>
      </c>
      <c r="E4" s="7" t="n">
        <f aca="false">MEDIAN(F4:J4)</f>
        <v>54023</v>
      </c>
      <c r="F4" s="7" t="n">
        <v>41377</v>
      </c>
      <c r="G4" s="7" t="n">
        <v>27618</v>
      </c>
      <c r="H4" s="7" t="n">
        <v>54023</v>
      </c>
      <c r="I4" s="7" t="n">
        <v>61152</v>
      </c>
      <c r="J4" s="7" t="n">
        <v>98643</v>
      </c>
      <c r="K4" s="3" t="s">
        <v>167</v>
      </c>
      <c r="L4" s="3" t="s">
        <v>155</v>
      </c>
      <c r="M4" s="3" t="s">
        <v>168</v>
      </c>
      <c r="N4" s="5" t="s">
        <v>169</v>
      </c>
    </row>
    <row r="5" customFormat="false" ht="15" hidden="false" customHeight="true" outlineLevel="0" collapsed="false">
      <c r="A5" s="3" t="s">
        <v>170</v>
      </c>
      <c r="B5" s="4" t="s">
        <v>171</v>
      </c>
      <c r="C5" s="5" t="s">
        <v>172</v>
      </c>
      <c r="D5" s="6" t="n">
        <f aca="false">ROUND(AVERAGE(F5:J5),0)</f>
        <v>307638</v>
      </c>
      <c r="E5" s="7" t="n">
        <f aca="false">MEDIAN(F5:J5)</f>
        <v>63784</v>
      </c>
      <c r="F5" s="7" t="n">
        <v>92034</v>
      </c>
      <c r="G5" s="7" t="n">
        <v>63784</v>
      </c>
      <c r="H5" s="7" t="n">
        <v>40542</v>
      </c>
      <c r="I5" s="7" t="n">
        <v>30144</v>
      </c>
      <c r="J5" s="7" t="n">
        <v>1311686</v>
      </c>
      <c r="K5" s="3" t="s">
        <v>173</v>
      </c>
      <c r="L5" s="3" t="s">
        <v>155</v>
      </c>
      <c r="M5" s="3" t="s">
        <v>174</v>
      </c>
      <c r="N5" s="5" t="s">
        <v>175</v>
      </c>
    </row>
    <row r="7" customFormat="false" ht="15" hidden="false" customHeight="true" outlineLevel="0" collapsed="false">
      <c r="A7" s="8" t="s">
        <v>56</v>
      </c>
    </row>
  </sheetData>
  <autoFilter ref="A1:N5"/>
  <hyperlinks>
    <hyperlink ref="B2" r:id="rId1" display="https://www.youtube.com/channel/UCjsUAeUrKYXnCgfspXvA3xg"/>
    <hyperlink ref="B3" r:id="rId2" display="https://www.youtube.com/channel/UCD004YbdukmeACXKt04KQAA"/>
    <hyperlink ref="B4" r:id="rId3" display="https://www.youtube.com/channel/UCsYEZah0zh0XCIaOHrkh93Q"/>
    <hyperlink ref="B5" r:id="rId4" display="https://www.youtube.com/channel/UCuRFcS830VPUZDmvXDqDT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2026-10-02T07:54:57Z</dcterms:created>
  <dc:creator>openpyxl</dc:creator>
  <dc:description/>
  <dc:language>en-US</dc:language>
  <cp:lastModifiedBy/>
  <dcterms:modified xsi:type="dcterms:W3CDTF">2026-10-02T07:58:38Z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